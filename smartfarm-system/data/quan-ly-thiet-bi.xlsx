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i-tap\MiniProject\smartfarm-system\data\"/>
    </mc:Choice>
  </mc:AlternateContent>
  <bookViews>
    <workbookView xWindow="0" yWindow="0" windowWidth="11868" windowHeight="4848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62913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<sst xmlns="http://schemas.openxmlformats.org/spreadsheetml/2006/main" count="48" uniqueCount="36">
  <si>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</si>
  <si>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</si>
  <si>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</si>
  <si>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</si>
  <si>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</si>
  <si>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</si>
  <si>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</si>
  <si>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</si>
  <si>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</si>
  <si>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</si>
  <si>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</si>
  <si>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</si>
  <si>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</si>
  <si>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</si>
  <si>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</si>
  <si>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</si>
  <si>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</si>
  <si>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</si>
  <si>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</si>
  <si>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</si>
  <si>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</si>
  <si>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</si>
  <si>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</si>
  <si>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</si>
  <si>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</si>
  <si>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</si>
  <si>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</si>
  <si>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</si>
  <si>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</si>
  <si>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</si>
  <si>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</si>
  <si>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</si>
  <si>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</si>
  <si>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</si>
  <si>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</si>
  <si>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>ma_linh_kien_sach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</si>
</sst>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4" sqref="D4"/>
    </sheetView>
  </sheetViews>
  <sheetFormatPr defaultRowHeight="14.4" x14ac:dyDescent="0.3"/>
  <cols>
    <col min="1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1450000</v>
      </c>
      <c r="D2" t="s">
        <v>6</v>
      </c>
    </row>
    <row r="3" spans="1:4" x14ac:dyDescent="0.3">
      <c r="A3" t="s">
        <v>7</v>
      </c>
      <c r="B3" t="s">
        <v>8</v>
      </c>
      <c r="C3" s="2">
        <v>6200000</v>
      </c>
      <c r="D3" t="s">
        <v>6</v>
      </c>
    </row>
    <row r="4" spans="1:4" x14ac:dyDescent="0.3">
      <c r="A4" t="s">
        <v>9</v>
      </c>
      <c r="B4" t="s">
        <v>10</v>
      </c>
      <c r="C4" s="2">
        <v>2300000</v>
      </c>
      <c r="D4" t="s">
        <v>6</v>
      </c>
    </row>
    <row r="5" spans="1:4" x14ac:dyDescent="0.3">
      <c r="A5" t="s">
        <v>11</v>
      </c>
      <c r="B5" t="s">
        <v>12</v>
      </c>
      <c r="C5" s="2">
        <v>5400000</v>
      </c>
      <c r="D5" t="s">
        <v>13</v>
      </c>
    </row>
    <row r="6" spans="1:4" x14ac:dyDescent="0.3">
      <c r="A6" t="s">
        <v>14</v>
      </c>
      <c r="B6" t="s">
        <v>15</v>
      </c>
      <c r="C6" s="2">
        <v>4200000</v>
      </c>
      <c r="D6" t="s">
        <v>6</v>
      </c>
    </row>
    <row r="7" spans="1:4" x14ac:dyDescent="0.3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D5" sqref="D5"/>
    </sheetView>
  </sheetViews>
  <sheetFormatPr defaultRowHeight="14.4" x14ac:dyDescent="0.3"/>
  <cols>
    <col min="1" max="1" width="8.6640625" bestFit="1" customWidth="1"/>
    <col min="2" max="2" width="12.33203125" bestFit="1" customWidth="1"/>
    <col min="3" max="3" width="15.5546875" bestFit="1" customWidth="1"/>
    <col min="4" max="4" width="24" customWidth="1"/>
    <col min="5" max="5" width="17.33203125" bestFit="1" customWidth="1"/>
    <col min="6" max="6" width="19.88671875" bestFit="1" customWidth="1"/>
  </cols>
  <sheetData>
    <row r="1" spans="1:6" x14ac:dyDescent="0.3">
      <c r="A1" s="1" t="s">
        <v>18</v>
      </c>
      <c r="B1" s="1" t="s">
        <v>0</v>
      </c>
      <c r="C1" s="1" t="s">
        <v>19</v>
      </c>
      <c r="D1" s="1" t="s">
        <v>20</v>
      </c>
      <c r="E1" s="4" t="s">
        <v>35</v>
      </c>
      <c r="F1" s="4" t="s">
        <v>1</v>
      </c>
    </row>
    <row r="2" spans="1:6" x14ac:dyDescent="0.3">
      <c r="A2" t="s">
        <v>21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VLOOKUP(E2,'danh-muc-linh-kien'!$A$1:$D$7,2,0)</f>
        <v>Intel NUC i3</v>
      </c>
    </row>
    <row r="3" spans="1:6" x14ac:dyDescent="0.3">
      <c r="A3" t="s">
        <v>22</v>
      </c>
      <c r="B3" t="s">
        <v>23</v>
      </c>
      <c r="C3">
        <v>4</v>
      </c>
      <c r="D3" s="3">
        <v>46096</v>
      </c>
      <c r="E3" t="str">
        <f t="shared" ref="E3:E11" si="0">TRIM(B3)</f>
        <v>LK01</v>
      </c>
      <c r="F3" t="str">
        <f>VLOOKUP(E3,'danh-muc-linh-kien'!$A$1:$D$7,2,0)</f>
        <v>Raspberry Pi 4 Model B</v>
      </c>
    </row>
    <row r="4" spans="1:6" x14ac:dyDescent="0.3">
      <c r="A4" t="s">
        <v>24</v>
      </c>
      <c r="B4" t="s">
        <v>25</v>
      </c>
      <c r="C4">
        <v>8</v>
      </c>
      <c r="D4" s="3">
        <v>46114</v>
      </c>
      <c r="E4" t="str">
        <f t="shared" si="0"/>
        <v>LK05</v>
      </c>
      <c r="F4" t="str">
        <f>VLOOKUP(E4,'danh-muc-linh-kien'!$A$1:$D$7,2,0)</f>
        <v>Mini PC Fanless N100</v>
      </c>
    </row>
    <row r="5" spans="1:6" x14ac:dyDescent="0.3">
      <c r="A5" t="s">
        <v>26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VLOOKUP(E5,'danh-muc-linh-kien'!$A$1:$D$7,2,0)</f>
        <v>Orange Pi 5</v>
      </c>
    </row>
    <row r="6" spans="1:6" x14ac:dyDescent="0.3">
      <c r="A6" t="s">
        <v>27</v>
      </c>
      <c r="B6" t="s">
        <v>28</v>
      </c>
      <c r="C6">
        <v>16</v>
      </c>
      <c r="D6" s="3">
        <v>46133</v>
      </c>
      <c r="E6" t="str">
        <f t="shared" si="0"/>
        <v>LK02</v>
      </c>
      <c r="F6" t="str">
        <f>VLOOKUP(E6,'danh-muc-linh-kien'!$A$1:$D$7,2,0)</f>
        <v>Intel NUC i3</v>
      </c>
    </row>
    <row r="7" spans="1:6" x14ac:dyDescent="0.3">
      <c r="A7" t="s">
        <v>29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VLOOKUP(E7,'danh-muc-linh-kien'!$A$1:$D$7,2,0)</f>
        <v>Synology DS220j NAS</v>
      </c>
    </row>
    <row r="8" spans="1:6" x14ac:dyDescent="0.3">
      <c r="A8" t="s">
        <v>30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VLOOKUP(E8,'danh-muc-linh-kien'!$A$1:$D$7,2,0)</f>
        <v>Raspberry Pi 4 Model B</v>
      </c>
    </row>
    <row r="9" spans="1:6" x14ac:dyDescent="0.3">
      <c r="A9" t="s">
        <v>31</v>
      </c>
      <c r="B9" t="s">
        <v>32</v>
      </c>
      <c r="C9">
        <v>8</v>
      </c>
      <c r="D9" s="3">
        <v>46174</v>
      </c>
      <c r="E9" t="str">
        <f t="shared" si="0"/>
        <v>LK04</v>
      </c>
      <c r="F9" t="str">
        <f>VLOOKUP(E9,'danh-muc-linh-kien'!$A$1:$D$7,2,0)</f>
        <v>Dell Optiplex Micro</v>
      </c>
    </row>
    <row r="10" spans="1:6" x14ac:dyDescent="0.3">
      <c r="A10" t="s">
        <v>33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VLOOKUP(E10,'danh-muc-linh-kien'!$A$1:$D$7,2,0)</f>
        <v>Orange Pi 5</v>
      </c>
    </row>
    <row r="11" spans="1:6" x14ac:dyDescent="0.3">
      <c r="A11" t="s">
        <v>34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VLOOKUP(E11,'danh-muc-linh-kien'!$A$1:$D$7,2,0)</f>
        <v>Mini PC Fanless N100</v>
      </c>
    </row>
  </sheetData>
  <autoFilter ref="A1:F11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Tú Nguyễnn</cp:lastModifiedBy>
  <dcterms:created xsi:type="dcterms:W3CDTF">2026-10-13T00:17:08Z</dcterms:created>
  <dcterms:modified xsi:type="dcterms:W3CDTF">2026-10-27T08:59:14Z</dcterms:modified>
</cp:coreProperties>
</file>